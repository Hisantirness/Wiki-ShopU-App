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123\Documents\"/>
    </mc:Choice>
  </mc:AlternateContent>
  <xr:revisionPtr revIDLastSave="0" documentId="13_ncr:1_{9EEE36C2-E3C3-4300-8E69-5B34490FABD5}" xr6:coauthVersionLast="47" xr6:coauthVersionMax="47" xr10:uidLastSave="{00000000-0000-0000-0000-000000000000}"/>
  <bookViews>
    <workbookView xWindow="-120" yWindow="-120" windowWidth="29040" windowHeight="15840" xr2:uid="{DB9B8C28-AD5F-144A-9849-FD82E8D0C647}"/>
  </bookViews>
  <sheets>
    <sheet name="Hoja1" sheetId="1" r:id="rId1"/>
  </sheets>
  <definedNames>
    <definedName name="_xlnm.Print_Area" localSheetId="0">Hoja1!$B$10:$W$59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2" i="1"/>
  <c r="K23" i="1"/>
  <c r="K24" i="1"/>
  <c r="K17" i="1"/>
  <c r="J18" i="1"/>
  <c r="J19" i="1"/>
  <c r="J20" i="1"/>
  <c r="J21" i="1"/>
  <c r="J22" i="1"/>
  <c r="J23" i="1"/>
  <c r="J24" i="1"/>
  <c r="J17" i="1"/>
  <c r="I18" i="1"/>
  <c r="I19" i="1"/>
  <c r="I20" i="1"/>
  <c r="I21" i="1"/>
  <c r="I22" i="1"/>
  <c r="I23" i="1"/>
  <c r="I24" i="1"/>
  <c r="I17" i="1"/>
  <c r="H18" i="1"/>
  <c r="H19" i="1"/>
  <c r="H20" i="1"/>
  <c r="H21" i="1"/>
  <c r="H22" i="1"/>
  <c r="H23" i="1"/>
  <c r="H24" i="1"/>
  <c r="H17" i="1"/>
</calcChain>
</file>

<file path=xl/sharedStrings.xml><?xml version="1.0" encoding="utf-8"?>
<sst xmlns="http://schemas.openxmlformats.org/spreadsheetml/2006/main" count="48" uniqueCount="48">
  <si>
    <t>Sem</t>
  </si>
  <si>
    <t>PV</t>
  </si>
  <si>
    <t>EV</t>
  </si>
  <si>
    <t>AC</t>
  </si>
  <si>
    <t>SV=EV−PV</t>
  </si>
  <si>
    <t>CV=EV−AC</t>
  </si>
  <si>
    <t>SPI=EV/PV</t>
  </si>
  <si>
    <t>CPI=EV/AC</t>
  </si>
  <si>
    <t>Lectura rápida</t>
  </si>
  <si>
    <t>Se mejora un poco hacia la semana 5–6 (SPI ≈ 0.85), pero sigue en rojo.</t>
  </si>
  <si>
    <t>Proyección simple al corte final (semana 6)</t>
  </si>
  <si>
    <t>Fórmulas clave</t>
  </si>
  <si>
    <t>Curva S (cómo se vería)</t>
  </si>
  <si>
    <t>Conclusión:</t>
  </si>
  <si>
    <t xml:space="preserve">el proyecto va atrasado y con sobrecosto. </t>
  </si>
  <si>
    <t xml:space="preserve">Para corregir: </t>
  </si>
  <si>
    <t>reducir alcance no crítico,</t>
  </si>
  <si>
    <t>atacar cuellos de botella (WIP/QA),</t>
  </si>
  <si>
    <t>y priorizar ítems de mayor valor para recuperar SPI y mejorar el CPI.</t>
  </si>
  <si>
    <t>PV (Planned Value) = Valor planificado</t>
  </si>
  <si>
    <t>EV (Earned Value) = Valor ganado</t>
  </si>
  <si>
    <t>AC (Actual Cost) = Costo real</t>
  </si>
  <si>
    <t>Ejemplo: según tu cronograma, hoy deberías llevar el 50% → si el presupuesto total es $100,000, entonces PV = $50,000.</t>
  </si>
  <si>
    <t>Ejemplo: llevas hecho un 40% → EV = $40,000.</t>
  </si>
  <si>
    <t>Ejemplo: has gastado $45,000.</t>
  </si>
  <si>
    <t>Estado Final (Sem 8):</t>
  </si>
  <si>
    <t>4. Interpretación para ShopU</t>
  </si>
  <si>
    <r>
      <t>Lo que </t>
    </r>
    <r>
      <rPr>
        <i/>
        <sz val="12"/>
        <color theme="1"/>
        <rFont val="Times New Roman"/>
        <family val="1"/>
      </rPr>
      <t>deberías haber hecho</t>
    </r>
    <r>
      <rPr>
        <sz val="12"/>
        <color theme="1"/>
        <rFont val="Times New Roman"/>
        <family val="1"/>
      </rPr>
      <t> hasta hoy, según el plan.</t>
    </r>
  </si>
  <si>
    <r>
      <t>Lo que </t>
    </r>
    <r>
      <rPr>
        <i/>
        <sz val="12"/>
        <color theme="1"/>
        <rFont val="Times New Roman"/>
        <family val="1"/>
      </rPr>
      <t>realmente has hecho</t>
    </r>
    <r>
      <rPr>
        <sz val="12"/>
        <color theme="1"/>
        <rFont val="Times New Roman"/>
        <family val="1"/>
      </rPr>
      <t> hasta hoy, pero medido en términos del plan.</t>
    </r>
  </si>
  <si>
    <r>
      <t>Lo que </t>
    </r>
    <r>
      <rPr>
        <i/>
        <sz val="12"/>
        <color theme="1"/>
        <rFont val="Times New Roman"/>
        <family val="1"/>
      </rPr>
      <t>te has gastado</t>
    </r>
    <r>
      <rPr>
        <sz val="12"/>
        <color theme="1"/>
        <rFont val="Times New Roman"/>
        <family val="1"/>
      </rPr>
      <t> hasta hoy.</t>
    </r>
  </si>
  <si>
    <r>
      <t>SV (variance de cronograma) = </t>
    </r>
    <r>
      <rPr>
        <b/>
        <sz val="12"/>
        <color rgb="FF000000"/>
        <rFont val="Times New Roman"/>
        <family val="1"/>
      </rPr>
      <t>EV − PV</t>
    </r>
    <r>
      <rPr>
        <sz val="12"/>
        <color rgb="FF000000"/>
        <rFont val="Times New Roman"/>
        <family val="1"/>
      </rPr>
      <t> → &lt; 0 = atraso</t>
    </r>
  </si>
  <si>
    <r>
      <t>CV (variance de costo) = </t>
    </r>
    <r>
      <rPr>
        <b/>
        <sz val="12"/>
        <color rgb="FF000000"/>
        <rFont val="Times New Roman"/>
        <family val="1"/>
      </rPr>
      <t>EV − AC</t>
    </r>
    <r>
      <rPr>
        <sz val="12"/>
        <color rgb="FF000000"/>
        <rFont val="Times New Roman"/>
        <family val="1"/>
      </rPr>
      <t> → &lt; 0 = sobrecosto</t>
    </r>
  </si>
  <si>
    <r>
      <t>SPI (índice de performance de cronograma) = </t>
    </r>
    <r>
      <rPr>
        <b/>
        <sz val="12"/>
        <color rgb="FF000000"/>
        <rFont val="Times New Roman"/>
        <family val="1"/>
      </rPr>
      <t>EV / PV</t>
    </r>
    <r>
      <rPr>
        <sz val="12"/>
        <color rgb="FF000000"/>
        <rFont val="Times New Roman"/>
        <family val="1"/>
      </rPr>
      <t> → &lt; 1 = atraso</t>
    </r>
  </si>
  <si>
    <r>
      <t>CPI (índice de performance de costo) = </t>
    </r>
    <r>
      <rPr>
        <b/>
        <sz val="12"/>
        <color rgb="FF000000"/>
        <rFont val="Times New Roman"/>
        <family val="1"/>
      </rPr>
      <t>EV / AC</t>
    </r>
    <r>
      <rPr>
        <sz val="12"/>
        <color rgb="FF000000"/>
        <rFont val="Times New Roman"/>
        <family val="1"/>
      </rPr>
      <t> → &lt; 1 = sobrecosto</t>
    </r>
  </si>
  <si>
    <r>
      <t>En </t>
    </r>
    <r>
      <rPr>
        <b/>
        <sz val="12"/>
        <color rgb="FF000000"/>
        <rFont val="Times New Roman"/>
        <family val="1"/>
      </rPr>
      <t>todas</t>
    </r>
    <r>
      <rPr>
        <sz val="12"/>
        <color rgb="FF000000"/>
        <rFont val="Times New Roman"/>
        <family val="1"/>
      </rPr>
      <t> las semanas </t>
    </r>
    <r>
      <rPr>
        <b/>
        <sz val="12"/>
        <color rgb="FF000000"/>
        <rFont val="Times New Roman"/>
        <family val="1"/>
      </rPr>
      <t>EV &lt; PV</t>
    </r>
    <r>
      <rPr>
        <sz val="12"/>
        <color rgb="FF000000"/>
        <rFont val="Times New Roman"/>
        <family val="1"/>
      </rPr>
      <t> → el proyecto va </t>
    </r>
    <r>
      <rPr>
        <b/>
        <sz val="12"/>
        <color rgb="FF000000"/>
        <rFont val="Times New Roman"/>
        <family val="1"/>
      </rPr>
      <t>atrasado</t>
    </r>
    <r>
      <rPr>
        <sz val="12"/>
        <color rgb="FF000000"/>
        <rFont val="Times New Roman"/>
        <family val="1"/>
      </rPr>
      <t> (SPI &lt; 1).</t>
    </r>
  </si>
  <si>
    <r>
      <t>En </t>
    </r>
    <r>
      <rPr>
        <b/>
        <sz val="12"/>
        <color rgb="FF000000"/>
        <rFont val="Times New Roman"/>
        <family val="1"/>
      </rPr>
      <t>todas</t>
    </r>
    <r>
      <rPr>
        <sz val="12"/>
        <color rgb="FF000000"/>
        <rFont val="Times New Roman"/>
        <family val="1"/>
      </rPr>
      <t> las semanas </t>
    </r>
    <r>
      <rPr>
        <b/>
        <sz val="12"/>
        <color rgb="FF000000"/>
        <rFont val="Times New Roman"/>
        <family val="1"/>
      </rPr>
      <t>AC &gt; EV</t>
    </r>
    <r>
      <rPr>
        <sz val="12"/>
        <color rgb="FF000000"/>
        <rFont val="Times New Roman"/>
        <family val="1"/>
      </rPr>
      <t> → hay </t>
    </r>
    <r>
      <rPr>
        <b/>
        <sz val="12"/>
        <color rgb="FF000000"/>
        <rFont val="Times New Roman"/>
        <family val="1"/>
      </rPr>
      <t>sobrecosto</t>
    </r>
    <r>
      <rPr>
        <sz val="12"/>
        <color rgb="FF000000"/>
        <rFont val="Times New Roman"/>
        <family val="1"/>
      </rPr>
      <t> (CPI &lt; 1).</t>
    </r>
  </si>
  <si>
    <r>
      <t>Si tomamos BAC = </t>
    </r>
    <r>
      <rPr>
        <b/>
        <sz val="12"/>
        <color rgb="FF000000"/>
        <rFont val="Times New Roman"/>
        <family val="1"/>
      </rPr>
      <t>100</t>
    </r>
    <r>
      <rPr>
        <sz val="12"/>
        <color rgb="FF000000"/>
        <rFont val="Times New Roman"/>
        <family val="1"/>
      </rPr>
      <t> (mismas unidades que PV) y usamos el </t>
    </r>
    <r>
      <rPr>
        <b/>
        <sz val="12"/>
        <color rgb="FF000000"/>
        <rFont val="Times New Roman"/>
        <family val="1"/>
      </rPr>
      <t>CPI final ≈ 0.81</t>
    </r>
    <r>
      <rPr>
        <sz val="12"/>
        <color rgb="FF000000"/>
        <rFont val="Times New Roman"/>
        <family val="1"/>
      </rPr>
      <t>:</t>
    </r>
  </si>
  <si>
    <r>
      <t>EAC ≈ BAC / CPI = 100 / 0.81 ≈ 123.5</t>
    </r>
    <r>
      <rPr>
        <sz val="12"/>
        <color rgb="FF000000"/>
        <rFont val="Times New Roman"/>
        <family val="1"/>
      </rPr>
      <t> → costo final </t>
    </r>
    <r>
      <rPr>
        <b/>
        <sz val="12"/>
        <color rgb="FF000000"/>
        <rFont val="Times New Roman"/>
        <family val="1"/>
      </rPr>
      <t>≈ 123.5</t>
    </r>
  </si>
  <si>
    <r>
      <t>VAC = BAC − EAC ≈ 100 − 123.5 = −23.5</t>
    </r>
    <r>
      <rPr>
        <sz val="12"/>
        <color rgb="FF000000"/>
        <rFont val="Times New Roman"/>
        <family val="1"/>
      </rPr>
      <t> → </t>
    </r>
    <r>
      <rPr>
        <b/>
        <sz val="12"/>
        <color rgb="FF000000"/>
        <rFont val="Times New Roman"/>
        <family val="1"/>
      </rPr>
      <t>sobrepaso</t>
    </r>
    <r>
      <rPr>
        <sz val="12"/>
        <color rgb="FF000000"/>
        <rFont val="Times New Roman"/>
        <family val="1"/>
      </rPr>
      <t> de ~23.5</t>
    </r>
  </si>
  <si>
    <r>
      <t>PV</t>
    </r>
    <r>
      <rPr>
        <sz val="12"/>
        <color rgb="FF000000"/>
        <rFont val="Times New Roman"/>
        <family val="1"/>
      </rPr>
      <t>: línea de referencia que llega a 100 en la semana 6.</t>
    </r>
  </si>
  <si>
    <r>
      <t>EV</t>
    </r>
    <r>
      <rPr>
        <sz val="12"/>
        <color rgb="FF000000"/>
        <rFont val="Times New Roman"/>
        <family val="1"/>
      </rPr>
      <t>: siempre por debajo de PV → atraso.</t>
    </r>
  </si>
  <si>
    <r>
      <t>AC</t>
    </r>
    <r>
      <rPr>
        <sz val="12"/>
        <color rgb="FF000000"/>
        <rFont val="Times New Roman"/>
        <family val="1"/>
      </rPr>
      <t>: casi siempre por encima de EV → gastas más de lo logrado.</t>
    </r>
  </si>
  <si>
    <r>
      <t>Situación Inicial (Sem 1-3):</t>
    </r>
    <r>
      <rPr>
        <sz val="12"/>
        <color theme="1"/>
        <rFont val="Times New Roman"/>
        <family val="1"/>
      </rPr>
      <t xml:space="preserve"> Hubo un arranque lento (SPI bajo de 0.72) y costoso.</t>
    </r>
  </si>
  <si>
    <r>
      <t>Causa probable:</t>
    </r>
    <r>
      <rPr>
        <sz val="12"/>
        <color theme="1"/>
        <rFont val="Times New Roman"/>
        <family val="1"/>
      </rPr>
      <t xml:space="preserve"> El equipo estaba aprendiendo </t>
    </r>
    <r>
      <rPr>
        <b/>
        <sz val="12"/>
        <color theme="1"/>
        <rFont val="Times New Roman"/>
        <family val="1"/>
      </rPr>
      <t>Jetpack Compose</t>
    </r>
    <r>
      <rPr>
        <sz val="12"/>
        <color theme="1"/>
        <rFont val="Times New Roman"/>
        <family val="1"/>
      </rPr>
      <t xml:space="preserve"> y configurando </t>
    </r>
    <r>
      <rPr>
        <b/>
        <sz val="12"/>
        <color theme="1"/>
        <rFont val="Times New Roman"/>
        <family val="1"/>
      </rPr>
      <t>Firebase</t>
    </r>
    <r>
      <rPr>
        <sz val="12"/>
        <color theme="1"/>
        <rFont val="Times New Roman"/>
        <family val="1"/>
      </rPr>
      <t>. Eso consumió horas (AC alto) pero produjo poca funcionalidad visible (EV bajo).</t>
    </r>
  </si>
  <si>
    <r>
      <t>Recuperación (Sem 4-6):</t>
    </r>
    <r>
      <rPr>
        <sz val="12"/>
        <color theme="1"/>
        <rFont val="Times New Roman"/>
        <family val="1"/>
      </rPr>
      <t xml:space="preserve"> El equipo tomó ritmo. El </t>
    </r>
    <r>
      <rPr>
        <b/>
        <sz val="12"/>
        <color theme="1"/>
        <rFont val="Times New Roman"/>
        <family val="1"/>
      </rPr>
      <t>SPI</t>
    </r>
    <r>
      <rPr>
        <sz val="12"/>
        <color theme="1"/>
        <rFont val="Times New Roman"/>
        <family val="1"/>
      </rPr>
      <t xml:space="preserve"> subió de 0.75 a 0.89.</t>
    </r>
  </si>
  <si>
    <r>
      <t>Razón:</t>
    </r>
    <r>
      <rPr>
        <sz val="12"/>
        <color theme="1"/>
        <rFont val="Times New Roman"/>
        <family val="1"/>
      </rPr>
      <t xml:space="preserve"> Se superó la curva de aprendizaje y se empezaron a entregar módulos más rápido (Catálogo, Carrito).</t>
    </r>
  </si>
  <si>
    <r>
      <t>Cronograma:</t>
    </r>
    <r>
      <rPr>
        <sz val="12"/>
        <color theme="1"/>
        <rFont val="Times New Roman"/>
        <family val="1"/>
      </rPr>
      <t xml:space="preserve"> Terminaste con un </t>
    </r>
    <r>
      <rPr>
        <b/>
        <sz val="12"/>
        <color theme="1"/>
        <rFont val="Times New Roman"/>
        <family val="1"/>
      </rPr>
      <t>SPI de 0.96</t>
    </r>
    <r>
      <rPr>
        <sz val="12"/>
        <color theme="1"/>
        <rFont val="Times New Roman"/>
        <family val="1"/>
      </rPr>
      <t>. Casi lograste la meta, pero faltó un poco de alcance (quizás la gestión de trabajadores RF-10 quedó incompleta).</t>
    </r>
  </si>
  <si>
    <r>
      <t>Costo:</t>
    </r>
    <r>
      <rPr>
        <sz val="12"/>
        <color theme="1"/>
        <rFont val="Times New Roman"/>
        <family val="1"/>
      </rPr>
      <t xml:space="preserve"> Tu </t>
    </r>
    <r>
      <rPr>
        <b/>
        <sz val="12"/>
        <color theme="1"/>
        <rFont val="Times New Roman"/>
        <family val="1"/>
      </rPr>
      <t>AC ($10,100)</t>
    </r>
    <r>
      <rPr>
        <sz val="12"/>
        <color theme="1"/>
        <rFont val="Times New Roman"/>
        <family val="1"/>
      </rPr>
      <t xml:space="preserve"> superó al </t>
    </r>
    <r>
      <rPr>
        <b/>
        <sz val="12"/>
        <color theme="1"/>
        <rFont val="Times New Roman"/>
        <family val="1"/>
      </rPr>
      <t>PV ($10,000)</t>
    </r>
    <r>
      <rPr>
        <sz val="12"/>
        <color theme="1"/>
        <rFont val="Times New Roman"/>
        <family val="1"/>
      </rPr>
      <t>. Tuviste un ligero sobrecosto debido al inicio lento.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</si>
</sst>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3B3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left" indent="1"/>
    </xf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1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2000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Hoja1!$E$15</c:f>
              <c:strCache>
                <c:ptCount val="1"/>
                <c:pt idx="0">
                  <c:v>PV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Hoja1!$D$16:$D$24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Hoja1!$E$16:$E$24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8500</c:v>
                </c:pt>
                <c:pt idx="7">
                  <c:v>9500</c:v>
                </c:pt>
                <c:pt idx="8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5-3B41-AEBB-9606A8D9E4CB}"/>
            </c:ext>
          </c:extLst>
        </c:ser>
        <c:ser>
          <c:idx val="1"/>
          <c:order val="1"/>
          <c:tx>
            <c:strRef>
              <c:f>Hoja1!$F$15</c:f>
              <c:strCache>
                <c:ptCount val="1"/>
                <c:pt idx="0">
                  <c:v>EV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Hoja1!$D$16:$D$24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Hoja1!$F$16:$F$24</c:f>
              <c:numCache>
                <c:formatCode>General</c:formatCode>
                <c:ptCount val="9"/>
                <c:pt idx="0">
                  <c:v>0</c:v>
                </c:pt>
                <c:pt idx="1">
                  <c:v>800</c:v>
                </c:pt>
                <c:pt idx="2">
                  <c:v>1800</c:v>
                </c:pt>
                <c:pt idx="3">
                  <c:v>3000</c:v>
                </c:pt>
                <c:pt idx="4">
                  <c:v>4500</c:v>
                </c:pt>
                <c:pt idx="5">
                  <c:v>6000</c:v>
                </c:pt>
                <c:pt idx="6">
                  <c:v>7600</c:v>
                </c:pt>
                <c:pt idx="7">
                  <c:v>8900</c:v>
                </c:pt>
                <c:pt idx="8">
                  <c:v>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5-3B41-AEBB-9606A8D9E4CB}"/>
            </c:ext>
          </c:extLst>
        </c:ser>
        <c:ser>
          <c:idx val="2"/>
          <c:order val="2"/>
          <c:tx>
            <c:strRef>
              <c:f>Hoja1!$G$15</c:f>
              <c:strCache>
                <c:ptCount val="1"/>
                <c:pt idx="0">
                  <c:v>AC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Hoja1!$D$16:$D$24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Hoja1!$G$16:$G$24</c:f>
              <c:numCache>
                <c:formatCode>General</c:formatCode>
                <c:ptCount val="9"/>
                <c:pt idx="0">
                  <c:v>0</c:v>
                </c:pt>
                <c:pt idx="1">
                  <c:v>1100</c:v>
                </c:pt>
                <c:pt idx="2">
                  <c:v>2400</c:v>
                </c:pt>
                <c:pt idx="3">
                  <c:v>3800</c:v>
                </c:pt>
                <c:pt idx="4">
                  <c:v>5200</c:v>
                </c:pt>
                <c:pt idx="5">
                  <c:v>6500</c:v>
                </c:pt>
                <c:pt idx="6">
                  <c:v>8000</c:v>
                </c:pt>
                <c:pt idx="7">
                  <c:v>9200</c:v>
                </c:pt>
                <c:pt idx="8">
                  <c:v>10100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55-3B41-AEBB-9606A8D9E4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4414607"/>
        <c:axId val="934416319"/>
      </c:lineChart>
      <c:catAx>
        <c:axId val="9344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4416319"/>
        <c:crosses val="autoZero"/>
        <c:auto val="1"/>
        <c:lblAlgn val="ctr"/>
        <c:lblOffset val="100"/>
        <c:noMultiLvlLbl val="0"/>
      </c:catAx>
      <c:valAx>
        <c:axId val="934416319"/>
        <c:scaling>
          <c:orientation val="minMax"/>
          <c:max val="10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MX"/>
          </a:p>
        </c:txPr>
        <c:crossAx val="934414607"/>
        <c:crosses val="autoZero"/>
        <c:crossBetween val="between"/>
        <c:majorUnit val="500"/>
      </c:valAx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3B3B"/>
    </a:soli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340179</xdr:colOff>
      <xdr:row>25</xdr:row>
      <xdr:rowOff>28575</xdr:rowOff>
    </xdr:from>
    <xdr:to>
      <xdr:col>13</xdr:col>
      <xdr:colOff>367393</xdr:colOff>
      <xdr:row>56</xdr:row>
      <xdr:rowOff>2628900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3538E4-67E4-242F-3DD9-181CFB87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DFEA-6788-CE4A-95E5-8E9C09A907E9}">
  <sheetPr>
    <pageSetUpPr fitToPage="1"/>
  </sheetPr>
  <dimension ref="A5:W81"/>
  <sheetViews>
    <sheetView tabSelected="1" topLeftCell="A57" zoomScale="85" zoomScaleNormal="85" workbookViewId="0">
      <selection activeCell="A61" sqref="A61:O77"/>
    </sheetView>
  </sheetViews>
  <sheetFormatPr baseColWidth="10" defaultRowHeight="15.75" x14ac:dyDescent="0.25"/>
  <sheetData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1"/>
      <c r="B15" s="2"/>
      <c r="C15" s="2"/>
      <c r="D15" s="16" t="s">
        <v>0</v>
      </c>
      <c r="E15" s="16" t="s">
        <v>1</v>
      </c>
      <c r="F15" s="16" t="s">
        <v>2</v>
      </c>
      <c r="G15" s="16" t="s">
        <v>3</v>
      </c>
      <c r="H15" s="16" t="s">
        <v>4</v>
      </c>
      <c r="I15" s="16" t="s">
        <v>5</v>
      </c>
      <c r="J15" s="16" t="s">
        <v>6</v>
      </c>
      <c r="K15" s="16" t="s">
        <v>7</v>
      </c>
      <c r="L15" s="2"/>
      <c r="M15" s="2"/>
      <c r="N15" s="2"/>
      <c r="O15" s="3" t="s">
        <v>19</v>
      </c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1"/>
      <c r="B16" s="2"/>
      <c r="C16" s="2"/>
      <c r="D16" s="17">
        <v>0</v>
      </c>
      <c r="E16" s="17">
        <v>0</v>
      </c>
      <c r="F16" s="17">
        <v>0</v>
      </c>
      <c r="G16" s="17">
        <v>0</v>
      </c>
      <c r="H16" s="18"/>
      <c r="I16" s="18"/>
      <c r="J16" s="18"/>
      <c r="K16" s="18"/>
      <c r="L16" s="2"/>
      <c r="M16" s="2"/>
      <c r="N16" s="2"/>
      <c r="O16" s="4" t="s">
        <v>27</v>
      </c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1"/>
      <c r="B17" s="2"/>
      <c r="C17" s="2"/>
      <c r="D17" s="19">
        <v>1</v>
      </c>
      <c r="E17" s="19">
        <v>1000</v>
      </c>
      <c r="F17" s="19">
        <v>800</v>
      </c>
      <c r="G17" s="19">
        <v>1100</v>
      </c>
      <c r="H17" s="20">
        <f>F17-E17</f>
        <v>-200</v>
      </c>
      <c r="I17" s="20">
        <f>F17-G17</f>
        <v>-300</v>
      </c>
      <c r="J17" s="20">
        <f>F17/E17</f>
        <v>0.8</v>
      </c>
      <c r="K17" s="20">
        <f>F17/G17</f>
        <v>0.72727272727272729</v>
      </c>
      <c r="L17" s="2"/>
      <c r="M17" s="2"/>
      <c r="N17" s="2"/>
      <c r="O17" s="4" t="s">
        <v>22</v>
      </c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1"/>
      <c r="B18" s="2"/>
      <c r="C18" s="2"/>
      <c r="D18" s="19">
        <v>2</v>
      </c>
      <c r="E18" s="19">
        <v>2500</v>
      </c>
      <c r="F18" s="19">
        <v>1800</v>
      </c>
      <c r="G18" s="19">
        <v>2400</v>
      </c>
      <c r="H18" s="20">
        <f t="shared" ref="H18:H24" si="0">F18-E18</f>
        <v>-700</v>
      </c>
      <c r="I18" s="20">
        <f t="shared" ref="I18:I24" si="1">F18-G18</f>
        <v>-600</v>
      </c>
      <c r="J18" s="20">
        <f t="shared" ref="J18:J24" si="2">F18/E18</f>
        <v>0.72</v>
      </c>
      <c r="K18" s="20">
        <f t="shared" ref="K18:K24" si="3">F18/G18</f>
        <v>0.75</v>
      </c>
      <c r="L18" s="2"/>
      <c r="M18" s="2"/>
      <c r="N18" s="2"/>
      <c r="O18" s="3" t="s">
        <v>20</v>
      </c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1"/>
      <c r="B19" s="2"/>
      <c r="C19" s="2"/>
      <c r="D19" s="19">
        <v>3</v>
      </c>
      <c r="E19" s="19">
        <v>4000</v>
      </c>
      <c r="F19" s="19">
        <v>3000</v>
      </c>
      <c r="G19" s="19">
        <v>3800</v>
      </c>
      <c r="H19" s="20">
        <f t="shared" si="0"/>
        <v>-1000</v>
      </c>
      <c r="I19" s="20">
        <f t="shared" si="1"/>
        <v>-800</v>
      </c>
      <c r="J19" s="20">
        <f t="shared" si="2"/>
        <v>0.75</v>
      </c>
      <c r="K19" s="20">
        <f t="shared" si="3"/>
        <v>0.78947368421052633</v>
      </c>
      <c r="L19" s="2"/>
      <c r="M19" s="2"/>
      <c r="N19" s="2"/>
      <c r="O19" s="4" t="s">
        <v>28</v>
      </c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1"/>
      <c r="B20" s="2"/>
      <c r="C20" s="2"/>
      <c r="D20" s="19">
        <v>4</v>
      </c>
      <c r="E20" s="19">
        <v>5500</v>
      </c>
      <c r="F20" s="19">
        <v>4500</v>
      </c>
      <c r="G20" s="19">
        <v>5200</v>
      </c>
      <c r="H20" s="20">
        <f t="shared" si="0"/>
        <v>-1000</v>
      </c>
      <c r="I20" s="20">
        <f t="shared" si="1"/>
        <v>-700</v>
      </c>
      <c r="J20" s="20">
        <f t="shared" si="2"/>
        <v>0.81818181818181823</v>
      </c>
      <c r="K20" s="20">
        <f t="shared" si="3"/>
        <v>0.86538461538461542</v>
      </c>
      <c r="L20" s="2"/>
      <c r="M20" s="2"/>
      <c r="N20" s="2"/>
      <c r="O20" s="4" t="s">
        <v>23</v>
      </c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1"/>
      <c r="B21" s="2"/>
      <c r="C21" s="2"/>
      <c r="D21" s="19">
        <v>5</v>
      </c>
      <c r="E21" s="19">
        <v>7000</v>
      </c>
      <c r="F21" s="19">
        <v>6000</v>
      </c>
      <c r="G21" s="19">
        <v>6500</v>
      </c>
      <c r="H21" s="20">
        <f t="shared" si="0"/>
        <v>-1000</v>
      </c>
      <c r="I21" s="20">
        <f t="shared" si="1"/>
        <v>-500</v>
      </c>
      <c r="J21" s="20">
        <f t="shared" si="2"/>
        <v>0.8571428571428571</v>
      </c>
      <c r="K21" s="20">
        <f t="shared" si="3"/>
        <v>0.92307692307692313</v>
      </c>
      <c r="L21" s="2"/>
      <c r="M21" s="2"/>
      <c r="N21" s="2"/>
      <c r="O21" s="3" t="s">
        <v>21</v>
      </c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1"/>
      <c r="B22" s="2"/>
      <c r="C22" s="2"/>
      <c r="D22" s="19">
        <v>6</v>
      </c>
      <c r="E22" s="19">
        <v>8500</v>
      </c>
      <c r="F22" s="21">
        <v>7600</v>
      </c>
      <c r="G22" s="19">
        <v>8000</v>
      </c>
      <c r="H22" s="20">
        <f t="shared" si="0"/>
        <v>-900</v>
      </c>
      <c r="I22" s="20">
        <f t="shared" si="1"/>
        <v>-400</v>
      </c>
      <c r="J22" s="20">
        <f t="shared" si="2"/>
        <v>0.89411764705882357</v>
      </c>
      <c r="K22" s="20">
        <f t="shared" si="3"/>
        <v>0.95</v>
      </c>
      <c r="L22" s="2"/>
      <c r="M22" s="2"/>
      <c r="N22" s="2"/>
      <c r="O22" s="4" t="s">
        <v>29</v>
      </c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1"/>
      <c r="B23" s="2"/>
      <c r="C23" s="2"/>
      <c r="D23" s="19">
        <v>7</v>
      </c>
      <c r="E23" s="21">
        <v>9500</v>
      </c>
      <c r="F23" s="21">
        <v>8900</v>
      </c>
      <c r="G23" s="21">
        <v>9200</v>
      </c>
      <c r="H23" s="20">
        <f t="shared" si="0"/>
        <v>-600</v>
      </c>
      <c r="I23" s="20">
        <f t="shared" si="1"/>
        <v>-300</v>
      </c>
      <c r="J23" s="20">
        <f t="shared" si="2"/>
        <v>0.93684210526315792</v>
      </c>
      <c r="K23" s="20">
        <f t="shared" si="3"/>
        <v>0.96739130434782605</v>
      </c>
      <c r="L23" s="2"/>
      <c r="M23" s="2"/>
      <c r="N23" s="2"/>
      <c r="O23" s="4" t="s">
        <v>24</v>
      </c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1"/>
      <c r="B24" s="2"/>
      <c r="C24" s="2"/>
      <c r="D24" s="19">
        <v>8</v>
      </c>
      <c r="E24" s="21">
        <v>10000</v>
      </c>
      <c r="F24" s="17">
        <v>9600</v>
      </c>
      <c r="G24" s="21">
        <v>10100</v>
      </c>
      <c r="H24" s="20">
        <f t="shared" si="0"/>
        <v>-400</v>
      </c>
      <c r="I24" s="20">
        <f t="shared" si="1"/>
        <v>-500</v>
      </c>
      <c r="J24" s="20">
        <f t="shared" si="2"/>
        <v>0.96</v>
      </c>
      <c r="K24" s="20">
        <f t="shared" si="3"/>
        <v>0.95049504950495045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">
        <v>11</v>
      </c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5" t="s">
        <v>30</v>
      </c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 t="s">
        <v>31</v>
      </c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 t="s">
        <v>32</v>
      </c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" t="s">
        <v>33</v>
      </c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">
        <v>8</v>
      </c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5" t="s">
        <v>34</v>
      </c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5" t="s">
        <v>35</v>
      </c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5" t="s">
        <v>9</v>
      </c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">
        <v>10</v>
      </c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5" t="s">
        <v>36</v>
      </c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">
        <v>37</v>
      </c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">
        <v>38</v>
      </c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">
        <v>12</v>
      </c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">
        <v>39</v>
      </c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">
        <v>40</v>
      </c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">
        <v>41</v>
      </c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7" t="s">
        <v>13</v>
      </c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8" t="s">
        <v>14</v>
      </c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 t="s">
        <v>15</v>
      </c>
      <c r="P55" s="2"/>
      <c r="Q55" s="2"/>
      <c r="R55" s="2"/>
      <c r="S55" s="2"/>
      <c r="T55" s="2"/>
      <c r="U55" s="2"/>
      <c r="V55" s="2"/>
      <c r="W55" s="2"/>
    </row>
    <row r="56" spans="1:23" ht="126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9" t="s">
        <v>16</v>
      </c>
      <c r="P56" s="2"/>
      <c r="Q56" s="2"/>
      <c r="R56" s="2"/>
      <c r="S56" s="2"/>
      <c r="T56" s="2"/>
      <c r="U56" s="2"/>
      <c r="V56" s="2"/>
      <c r="W56" s="2"/>
    </row>
    <row r="57" spans="1:23" ht="378.75" customHeight="1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9" t="s">
        <v>17</v>
      </c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9" t="s">
        <v>18</v>
      </c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0"/>
      <c r="B61" s="11" t="s">
        <v>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Q62" s="1"/>
      <c r="R62" s="1"/>
      <c r="S62" s="1"/>
      <c r="T62" s="1"/>
      <c r="U62" s="1"/>
      <c r="V62" s="1"/>
      <c r="W62" s="1"/>
    </row>
    <row r="63" spans="1:2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Q63" s="1"/>
      <c r="R63" s="1"/>
      <c r="S63" s="1"/>
      <c r="T63" s="1"/>
      <c r="U63" s="1"/>
      <c r="V63" s="1"/>
      <c r="W63" s="1"/>
    </row>
    <row r="64" spans="1:23" x14ac:dyDescent="0.25">
      <c r="A64" s="10"/>
      <c r="B64" s="12" t="s">
        <v>42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Q64" s="1"/>
      <c r="R64" s="1"/>
      <c r="S64" s="1"/>
      <c r="T64" s="1"/>
      <c r="U64" s="1"/>
      <c r="V64" s="1"/>
      <c r="W64" s="1"/>
    </row>
    <row r="65" spans="1:23" x14ac:dyDescent="0.25">
      <c r="A65" s="10"/>
      <c r="B65" s="13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Q65" s="1"/>
      <c r="R65" s="1"/>
      <c r="S65" s="1"/>
      <c r="T65" s="1"/>
      <c r="U65" s="1"/>
      <c r="V65" s="1"/>
      <c r="W65" s="1"/>
    </row>
    <row r="66" spans="1:23" x14ac:dyDescent="0.25">
      <c r="A66" s="10"/>
      <c r="B66" s="14" t="s">
        <v>43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Q66" s="1"/>
      <c r="R66" s="1"/>
      <c r="S66" s="1"/>
      <c r="T66" s="1"/>
      <c r="U66" s="1"/>
      <c r="V66" s="1"/>
      <c r="W66" s="1"/>
    </row>
    <row r="67" spans="1:2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Q67" s="1"/>
      <c r="R67" s="1"/>
      <c r="S67" s="1"/>
      <c r="T67" s="1"/>
      <c r="U67" s="1"/>
      <c r="V67" s="1"/>
      <c r="W67" s="1"/>
    </row>
    <row r="68" spans="1:23" x14ac:dyDescent="0.25">
      <c r="A68" s="10"/>
      <c r="B68" s="12" t="s">
        <v>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Q68" s="1"/>
      <c r="R68" s="1"/>
      <c r="S68" s="1"/>
      <c r="T68" s="1"/>
      <c r="U68" s="1"/>
      <c r="V68" s="1"/>
      <c r="W68" s="1"/>
    </row>
    <row r="69" spans="1:23" x14ac:dyDescent="0.25">
      <c r="A69" s="10"/>
      <c r="B69" s="13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Q69" s="1"/>
      <c r="R69" s="1"/>
      <c r="S69" s="1"/>
      <c r="T69" s="1"/>
      <c r="U69" s="1"/>
      <c r="V69" s="1"/>
      <c r="W69" s="1"/>
    </row>
    <row r="70" spans="1:23" x14ac:dyDescent="0.25">
      <c r="A70" s="10"/>
      <c r="B70" s="14" t="s">
        <v>45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Q70" s="1"/>
      <c r="R70" s="1"/>
      <c r="S70" s="1"/>
      <c r="T70" s="1"/>
      <c r="U70" s="1"/>
      <c r="V70" s="1"/>
      <c r="W70" s="1"/>
    </row>
    <row r="71" spans="1:2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Q71" s="1"/>
      <c r="R71" s="1"/>
      <c r="S71" s="1"/>
      <c r="T71" s="1"/>
      <c r="U71" s="1"/>
      <c r="V71" s="1"/>
      <c r="W71" s="1"/>
    </row>
    <row r="72" spans="1:23" x14ac:dyDescent="0.25">
      <c r="A72" s="10"/>
      <c r="B72" s="12" t="s">
        <v>25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Q72" s="1"/>
      <c r="R72" s="1"/>
      <c r="S72" s="1"/>
      <c r="T72" s="1"/>
      <c r="U72" s="1"/>
      <c r="V72" s="1"/>
      <c r="W72" s="1"/>
    </row>
    <row r="73" spans="1:23" x14ac:dyDescent="0.25">
      <c r="A73" s="10"/>
      <c r="B73" s="13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Q73" s="1"/>
      <c r="R73" s="1"/>
      <c r="S73" s="1"/>
      <c r="T73" s="1"/>
      <c r="U73" s="1"/>
      <c r="V73" s="1"/>
      <c r="W73" s="1"/>
    </row>
    <row r="74" spans="1:23" x14ac:dyDescent="0.25">
      <c r="A74" s="10"/>
      <c r="B74" s="15" t="s">
        <v>46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Q74" s="1"/>
      <c r="R74" s="1"/>
      <c r="S74" s="1"/>
      <c r="T74" s="1"/>
      <c r="U74" s="1"/>
      <c r="V74" s="1"/>
      <c r="W74" s="1"/>
    </row>
    <row r="75" spans="1:23" x14ac:dyDescent="0.25">
      <c r="A75" s="10"/>
      <c r="B75" s="13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Q75" s="1"/>
      <c r="R75" s="1"/>
      <c r="S75" s="1"/>
      <c r="T75" s="1"/>
      <c r="U75" s="1"/>
      <c r="V75" s="1"/>
      <c r="W75" s="1"/>
    </row>
    <row r="76" spans="1:23" x14ac:dyDescent="0.25">
      <c r="A76" s="10"/>
      <c r="B76" s="15" t="s">
        <v>47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Q76" s="1"/>
      <c r="R76" s="1"/>
      <c r="S76" s="1"/>
      <c r="T76" s="1"/>
      <c r="U76" s="1"/>
      <c r="V76" s="1"/>
      <c r="W76" s="1"/>
    </row>
    <row r="77" spans="1:2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</sheetData>
  <pageMargins left="0.7" right="0.7" top="0.75" bottom="0.75" header="0.3" footer="0.3"/>
  <pageSetup scale="48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Hernando Salazar</dc:creator>
  <cp:lastModifiedBy>123</cp:lastModifiedBy>
  <cp:lastPrinted>2025-09-30T07:03:31Z</cp:lastPrinted>
  <dcterms:created xsi:type="dcterms:W3CDTF">2025-09-30T06:32:19Z</dcterms:created>
  <dcterms:modified xsi:type="dcterms:W3CDTF">2025-12-09T16:53:11Z</dcterms:modified>
</cp:coreProperties>
</file>